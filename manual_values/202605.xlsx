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bilidade\PhpstormProjects\tester\manual_values\"/>
    </mc:Choice>
  </mc:AlternateContent>
  <xr:revisionPtr revIDLastSave="0" documentId="13_ncr:1_{0ECE672B-62A4-4311-A9A2-E998560571B0}" xr6:coauthVersionLast="47" xr6:coauthVersionMax="47" xr10:uidLastSave="{00000000-0000-0000-0000-000000000000}"/>
  <bookViews>
    <workbookView xWindow="28680" yWindow="-120" windowWidth="29040" windowHeight="15720" activeTab="1" xr2:uid="{1A150101-511F-452C-8ABB-F5FAD95197D8}"/>
  </bookViews>
  <sheets>
    <sheet name="PM" sheetId="1" r:id="rId1"/>
    <sheet name="CM" sheetId="2" r:id="rId2"/>
    <sheet name="FPSM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3" i="4" l="1"/>
  <c r="B62" i="4"/>
  <c r="B61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</calcChain>
</file>

<file path=xl/sharedStrings.xml><?xml version="1.0" encoding="utf-8"?>
<sst xmlns="http://schemas.openxmlformats.org/spreadsheetml/2006/main" count="256" uniqueCount="64">
  <si>
    <t>Ativo - saldo inicial</t>
  </si>
  <si>
    <t>Ativo - débitos</t>
  </si>
  <si>
    <t>Ativo - créditos</t>
  </si>
  <si>
    <t>Ativo - saldo final</t>
  </si>
  <si>
    <t>Passivo - saldo inicial</t>
  </si>
  <si>
    <t>Passivo - débitos</t>
  </si>
  <si>
    <t>Passivo - créditos</t>
  </si>
  <si>
    <t>Passivo - saldo final</t>
  </si>
  <si>
    <t>VPD - saldo inicial</t>
  </si>
  <si>
    <t>VPD - débitos</t>
  </si>
  <si>
    <t>VPD - créditos</t>
  </si>
  <si>
    <t>VPD - saldo final</t>
  </si>
  <si>
    <t>VPA - saldo inicial</t>
  </si>
  <si>
    <t>VPA - débitos</t>
  </si>
  <si>
    <t>VPA - créditos</t>
  </si>
  <si>
    <t>VPA - saldo final</t>
  </si>
  <si>
    <t>CAPO - saldo inicial</t>
  </si>
  <si>
    <t>CAPO - débitos</t>
  </si>
  <si>
    <t>CAPO - créditos</t>
  </si>
  <si>
    <t>CAPO - saldo final</t>
  </si>
  <si>
    <t>CEPO - saldo inicial</t>
  </si>
  <si>
    <t>CEPO - débitos</t>
  </si>
  <si>
    <t>CEPO - créditos</t>
  </si>
  <si>
    <t>CEPO - saldo final</t>
  </si>
  <si>
    <t>Controles devedores - saldo inicial</t>
  </si>
  <si>
    <t>Controles devedores - débitos</t>
  </si>
  <si>
    <t>Controles devedores - créditos</t>
  </si>
  <si>
    <t>Controles devedores - saldo final</t>
  </si>
  <si>
    <t>Controles credores - saldo inicial</t>
  </si>
  <si>
    <t>Controles credores - débitos</t>
  </si>
  <si>
    <t>Controles credores - créditos</t>
  </si>
  <si>
    <t>Controles credores - saldo final</t>
  </si>
  <si>
    <t>Dotação inicial</t>
  </si>
  <si>
    <t>Dotação atualizada</t>
  </si>
  <si>
    <t>Empenhado</t>
  </si>
  <si>
    <t>Liquidado</t>
  </si>
  <si>
    <t>Pago</t>
  </si>
  <si>
    <t>Receita líquida prevista</t>
  </si>
  <si>
    <t>Receita líquida prevista atualizada</t>
  </si>
  <si>
    <t>Receita líquida arrecadada</t>
  </si>
  <si>
    <t>Créditos suplementares</t>
  </si>
  <si>
    <t>Créditos especiais</t>
  </si>
  <si>
    <t>Créditos Extraordinários</t>
  </si>
  <si>
    <t>Redução de dotações</t>
  </si>
  <si>
    <t>Anulação de dotação</t>
  </si>
  <si>
    <t>Superávit com redução</t>
  </si>
  <si>
    <t>Superávit financeiro</t>
  </si>
  <si>
    <t>Excesso de arrecadação</t>
  </si>
  <si>
    <t>Operações de crédito</t>
  </si>
  <si>
    <t>Reabertura (Especial)</t>
  </si>
  <si>
    <t>RPNP inscritos anteriores</t>
  </si>
  <si>
    <t>RPNP inscritos ano anterior</t>
  </si>
  <si>
    <t>RPNP liquidados</t>
  </si>
  <si>
    <t>RPNP pagos</t>
  </si>
  <si>
    <t>RPNP cancelados</t>
  </si>
  <si>
    <t>RPP inscritos anteriores</t>
  </si>
  <si>
    <t>RPP inscritos ano anterior</t>
  </si>
  <si>
    <t>RPP pagos</t>
  </si>
  <si>
    <t>RPP cancelados</t>
  </si>
  <si>
    <t>item</t>
  </si>
  <si>
    <t>valor</t>
  </si>
  <si>
    <t>Estoque - saldo final</t>
  </si>
  <si>
    <t>Patrimônio - saldo final</t>
  </si>
  <si>
    <t>Depreciação - débito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</si>
</sst>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lightUp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8"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.00_ ;[Red]\-#,##0.00\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1B4944-F349-46BE-8828-FA50192B85E7}" name="VALORES_MANUAIS" displayName="VALORES_MANUAIS" ref="A1:B63" totalsRowShown="0" headerRowDxfId="5">
  <autoFilter ref="A1:B63" xr:uid="{E45FC8DF-0BB6-4032-80FB-F4013350F743}"/>
  <tableColumns count="2">
    <tableColumn id="1" xr3:uid="{72E397A3-A743-4EEA-BFD5-3113ADB13208}" name="item"/>
    <tableColumn id="2" xr3:uid="{67920E14-6B74-4A39-9EF1-9C6C10986B72}" name="valor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865E16-590A-4D5C-AA1B-EFB77009CF30}" name="VALORES_MANUAIS3" displayName="VALORES_MANUAIS3" ref="A1:B63" totalsRowShown="0" headerRowDxfId="7">
  <autoFilter ref="A1:B63" xr:uid="{E45FC8DF-0BB6-4032-80FB-F4013350F743}"/>
  <tableColumns count="2">
    <tableColumn id="1" xr3:uid="{C1C2EB70-F2D2-444D-865E-280D38957574}" name="item"/>
    <tableColumn id="3" xr3:uid="{842F6FAD-82EB-4A9E-86D9-2A2DE6AF4FD5}" name="valor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ED8C2D-15EB-4F6E-A638-6BC4E60C9654}" name="VALORES_MANUAIS34" displayName="VALORES_MANUAIS34" ref="A1:B63" totalsRowShown="0" headerRowDxfId="3">
  <autoFilter ref="A1:B63" xr:uid="{E45FC8DF-0BB6-4032-80FB-F4013350F743}"/>
  <tableColumns count="2">
    <tableColumn id="1" xr3:uid="{BD7E1018-7838-45B2-82AE-AE2BEDD67274}" name="item"/>
    <tableColumn id="4" xr3:uid="{0A114F86-24FC-45B6-B43E-98F351D49B74}" name="valor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ED078D-EBA6-4FAB-BCB9-9C62671019E4}" name="VALORES_MANUAIS345" displayName="VALORES_MANUAIS345" ref="A1:B63" totalsRowShown="0" headerRowDxfId="1">
  <autoFilter ref="A1:B63" xr:uid="{E45FC8DF-0BB6-4032-80FB-F4013350F743}"/>
  <tableColumns count="2">
    <tableColumn id="1" xr3:uid="{B4A09C18-EEA3-4FF9-85C2-5502AE150477}" name="item"/>
    <tableColumn id="5" xr3:uid="{01FDB2A1-F6A9-4341-A31E-CC051538A3C2}" name="valor" dataDxfId="0">
      <calculatedColumnFormula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E2B8-1DA5-4E40-8BEF-5529C25EB4E7}">
  <sheetPr>
    <tabColor theme="5" tint="-0.249977111117893"/>
  </sheetPr>
  <dimension ref="A1:B63"/>
  <sheetViews>
    <sheetView workbookViewId="0">
      <pane xSplit="1" ySplit="1" topLeftCell="B36" activePane="bottomRight" state="frozen"/>
      <selection activeCell="C10" sqref="C10"/>
      <selection pane="topRight" activeCell="C10" sqref="C10"/>
      <selection pane="bottomLeft" activeCell="C10" sqref="C10"/>
      <selection pane="bottomRight" activeCell="B63" sqref="B63"/>
    </sheetView>
  </sheetViews>
  <sheetFormatPr defaultRowHeight="15" x14ac:dyDescent="0.25"/>
  <cols>
    <col min="1" max="1" width="32.140625" bestFit="1" customWidth="1"/>
    <col min="2" max="2" width="14.285156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v>107577299.77</v>
      </c>
    </row>
    <row r="3" spans="1:2" x14ac:dyDescent="0.25">
      <c r="A3" t="s">
        <v>1</v>
      </c>
      <c r="B3" s="2">
        <v>106711218.04000001</v>
      </c>
    </row>
    <row r="4" spans="1:2" x14ac:dyDescent="0.25">
      <c r="A4" t="s">
        <v>2</v>
      </c>
      <c r="B4" s="2">
        <v>102303600.55</v>
      </c>
    </row>
    <row r="5" spans="1:2" x14ac:dyDescent="0.25">
      <c r="A5" t="s">
        <v>3</v>
      </c>
      <c r="B5" s="2">
        <v>111984917.26000001</v>
      </c>
    </row>
    <row r="6" spans="1:2" x14ac:dyDescent="0.25">
      <c r="A6" t="s">
        <v>4</v>
      </c>
      <c r="B6" s="2">
        <v>107577299.77</v>
      </c>
    </row>
    <row r="7" spans="1:2" x14ac:dyDescent="0.25">
      <c r="A7" t="s">
        <v>5</v>
      </c>
      <c r="B7" s="2">
        <v>98191827.75</v>
      </c>
    </row>
    <row r="8" spans="1:2" x14ac:dyDescent="0.25">
      <c r="A8" t="s">
        <v>6</v>
      </c>
      <c r="B8" s="2">
        <v>101293709.66</v>
      </c>
    </row>
    <row r="9" spans="1:2" x14ac:dyDescent="0.25">
      <c r="A9" t="s">
        <v>7</v>
      </c>
      <c r="B9" s="2">
        <v>110679181.68000001</v>
      </c>
    </row>
    <row r="10" spans="1:2" x14ac:dyDescent="0.25">
      <c r="A10" t="s">
        <v>8</v>
      </c>
      <c r="B10" s="2">
        <v>0</v>
      </c>
    </row>
    <row r="11" spans="1:2" x14ac:dyDescent="0.25">
      <c r="A11" t="s">
        <v>9</v>
      </c>
      <c r="B11" s="2">
        <v>28719320.579999998</v>
      </c>
    </row>
    <row r="12" spans="1:2" x14ac:dyDescent="0.25">
      <c r="A12" t="s">
        <v>10</v>
      </c>
      <c r="B12" s="2">
        <v>1337224.8500000001</v>
      </c>
    </row>
    <row r="13" spans="1:2" x14ac:dyDescent="0.25">
      <c r="A13" t="s">
        <v>11</v>
      </c>
      <c r="B13" s="2">
        <v>27382095.73</v>
      </c>
    </row>
    <row r="14" spans="1:2" x14ac:dyDescent="0.25">
      <c r="A14" t="s">
        <v>12</v>
      </c>
      <c r="B14" s="2">
        <v>0</v>
      </c>
    </row>
    <row r="15" spans="1:2" x14ac:dyDescent="0.25">
      <c r="A15" t="s">
        <v>13</v>
      </c>
      <c r="B15" s="2">
        <v>405553.6</v>
      </c>
    </row>
    <row r="16" spans="1:2" x14ac:dyDescent="0.25">
      <c r="A16" t="s">
        <v>14</v>
      </c>
      <c r="B16" s="2">
        <v>29093384.91</v>
      </c>
    </row>
    <row r="17" spans="1:2" x14ac:dyDescent="0.25">
      <c r="A17" t="s">
        <v>15</v>
      </c>
      <c r="B17" s="2">
        <v>28687831.309999999</v>
      </c>
    </row>
    <row r="18" spans="1:2" x14ac:dyDescent="0.25">
      <c r="A18" t="s">
        <v>16</v>
      </c>
      <c r="B18" s="2">
        <v>1190167.25</v>
      </c>
    </row>
    <row r="19" spans="1:2" x14ac:dyDescent="0.25">
      <c r="A19" t="s">
        <v>17</v>
      </c>
      <c r="B19" s="2">
        <v>190734989.41999999</v>
      </c>
    </row>
    <row r="20" spans="1:2" x14ac:dyDescent="0.25">
      <c r="A20" t="s">
        <v>18</v>
      </c>
      <c r="B20" s="2">
        <v>37074961.859999999</v>
      </c>
    </row>
    <row r="21" spans="1:2" x14ac:dyDescent="0.25">
      <c r="A21" t="s">
        <v>19</v>
      </c>
      <c r="B21" s="2">
        <v>154850194.81</v>
      </c>
    </row>
    <row r="22" spans="1:2" x14ac:dyDescent="0.25">
      <c r="A22" t="s">
        <v>20</v>
      </c>
      <c r="B22" s="2">
        <v>1190167.25</v>
      </c>
    </row>
    <row r="23" spans="1:2" x14ac:dyDescent="0.25">
      <c r="A23" t="s">
        <v>21</v>
      </c>
      <c r="B23" s="2">
        <v>158865775.97</v>
      </c>
    </row>
    <row r="24" spans="1:2" x14ac:dyDescent="0.25">
      <c r="A24" t="s">
        <v>22</v>
      </c>
      <c r="B24" s="2">
        <v>312525803.52999997</v>
      </c>
    </row>
    <row r="25" spans="1:2" x14ac:dyDescent="0.25">
      <c r="A25" t="s">
        <v>23</v>
      </c>
      <c r="B25" s="2">
        <v>154850194.81</v>
      </c>
    </row>
    <row r="26" spans="1:2" x14ac:dyDescent="0.25">
      <c r="A26" t="s">
        <v>24</v>
      </c>
      <c r="B26" s="2">
        <v>67102585.659999996</v>
      </c>
    </row>
    <row r="27" spans="1:2" x14ac:dyDescent="0.25">
      <c r="A27" t="s">
        <v>25</v>
      </c>
      <c r="B27" s="2">
        <v>60730861.810000002</v>
      </c>
    </row>
    <row r="28" spans="1:2" x14ac:dyDescent="0.25">
      <c r="A28" t="s">
        <v>26</v>
      </c>
      <c r="B28" s="2">
        <v>1535196.03</v>
      </c>
    </row>
    <row r="29" spans="1:2" x14ac:dyDescent="0.25">
      <c r="A29" t="s">
        <v>27</v>
      </c>
      <c r="B29" s="2">
        <v>126298251.44</v>
      </c>
    </row>
    <row r="30" spans="1:2" x14ac:dyDescent="0.25">
      <c r="A30" t="s">
        <v>28</v>
      </c>
      <c r="B30" s="2">
        <v>67102585.659999996</v>
      </c>
    </row>
    <row r="31" spans="1:2" x14ac:dyDescent="0.25">
      <c r="A31" t="s">
        <v>29</v>
      </c>
      <c r="B31" s="2">
        <v>102181232.68000001</v>
      </c>
    </row>
    <row r="32" spans="1:2" x14ac:dyDescent="0.25">
      <c r="A32" t="s">
        <v>30</v>
      </c>
      <c r="B32" s="2">
        <v>161376898.46000001</v>
      </c>
    </row>
    <row r="33" spans="1:2" x14ac:dyDescent="0.25">
      <c r="A33" t="s">
        <v>31</v>
      </c>
      <c r="B33" s="2">
        <v>126298251.44</v>
      </c>
    </row>
    <row r="34" spans="1:2" x14ac:dyDescent="0.25">
      <c r="A34" t="s">
        <v>32</v>
      </c>
      <c r="B34" s="2">
        <v>52037003.799999997</v>
      </c>
    </row>
    <row r="35" spans="1:2" x14ac:dyDescent="0.25">
      <c r="A35" t="s">
        <v>33</v>
      </c>
      <c r="B35" s="2">
        <v>66172460.920000002</v>
      </c>
    </row>
    <row r="36" spans="1:2" x14ac:dyDescent="0.25">
      <c r="A36" t="s">
        <v>34</v>
      </c>
      <c r="B36" s="2">
        <v>27462642.5</v>
      </c>
    </row>
    <row r="37" spans="1:2" x14ac:dyDescent="0.25">
      <c r="A37" t="s">
        <v>35</v>
      </c>
      <c r="B37" s="2">
        <v>19860222.829999998</v>
      </c>
    </row>
    <row r="38" spans="1:2" x14ac:dyDescent="0.25">
      <c r="A38" t="s">
        <v>36</v>
      </c>
      <c r="B38" s="2">
        <v>19007061.02</v>
      </c>
    </row>
    <row r="39" spans="1:2" x14ac:dyDescent="0.25">
      <c r="A39" t="s">
        <v>37</v>
      </c>
      <c r="B39" s="2">
        <v>54437003.799999997</v>
      </c>
    </row>
    <row r="40" spans="1:2" x14ac:dyDescent="0.25">
      <c r="A40" t="s">
        <v>38</v>
      </c>
      <c r="B40" s="2">
        <v>60024924.140000001</v>
      </c>
    </row>
    <row r="41" spans="1:2" x14ac:dyDescent="0.25">
      <c r="A41" t="s">
        <v>39</v>
      </c>
      <c r="B41" s="2">
        <v>23460600.699999999</v>
      </c>
    </row>
    <row r="42" spans="1:2" x14ac:dyDescent="0.25">
      <c r="A42" t="s">
        <v>40</v>
      </c>
      <c r="B42" s="2">
        <v>18129769.289999999</v>
      </c>
    </row>
    <row r="43" spans="1:2" x14ac:dyDescent="0.25">
      <c r="A43" t="s">
        <v>41</v>
      </c>
      <c r="B43" s="2">
        <v>2397903.41</v>
      </c>
    </row>
    <row r="44" spans="1:2" x14ac:dyDescent="0.25">
      <c r="A44" t="s">
        <v>42</v>
      </c>
      <c r="B44" s="2">
        <v>0</v>
      </c>
    </row>
    <row r="45" spans="1:2" x14ac:dyDescent="0.25">
      <c r="A45" t="s">
        <v>43</v>
      </c>
      <c r="B45" s="2">
        <v>6392215.5800000001</v>
      </c>
    </row>
    <row r="46" spans="1:2" x14ac:dyDescent="0.25">
      <c r="A46" t="s">
        <v>44</v>
      </c>
      <c r="B46" s="2">
        <v>6287734.2199999997</v>
      </c>
    </row>
    <row r="47" spans="1:2" x14ac:dyDescent="0.25">
      <c r="A47" t="s">
        <v>45</v>
      </c>
      <c r="B47" s="2">
        <v>159481.35999999999</v>
      </c>
    </row>
    <row r="48" spans="1:2" x14ac:dyDescent="0.25">
      <c r="A48" t="s">
        <v>46</v>
      </c>
      <c r="B48" s="2">
        <v>8392536.7799999993</v>
      </c>
    </row>
    <row r="49" spans="1:2" x14ac:dyDescent="0.25">
      <c r="A49" t="s">
        <v>47</v>
      </c>
      <c r="B49" s="2">
        <v>5587920.3399999999</v>
      </c>
    </row>
    <row r="50" spans="1:2" x14ac:dyDescent="0.25">
      <c r="A50" t="s">
        <v>48</v>
      </c>
      <c r="B50" s="2">
        <v>0</v>
      </c>
    </row>
    <row r="51" spans="1:2" x14ac:dyDescent="0.25">
      <c r="A51" t="s">
        <v>49</v>
      </c>
      <c r="B51" s="2">
        <v>100000</v>
      </c>
    </row>
    <row r="52" spans="1:2" x14ac:dyDescent="0.25">
      <c r="A52" t="s">
        <v>50</v>
      </c>
      <c r="B52" s="2">
        <v>240123.5</v>
      </c>
    </row>
    <row r="53" spans="1:2" x14ac:dyDescent="0.25">
      <c r="A53" t="s">
        <v>51</v>
      </c>
      <c r="B53" s="2">
        <v>914952.19</v>
      </c>
    </row>
    <row r="54" spans="1:2" x14ac:dyDescent="0.25">
      <c r="A54" t="s">
        <v>52</v>
      </c>
      <c r="B54" s="2">
        <v>405037.47</v>
      </c>
    </row>
    <row r="55" spans="1:2" x14ac:dyDescent="0.25">
      <c r="A55" t="s">
        <v>53</v>
      </c>
      <c r="B55" s="2">
        <v>405037.47</v>
      </c>
    </row>
    <row r="56" spans="1:2" x14ac:dyDescent="0.25">
      <c r="A56" t="s">
        <v>54</v>
      </c>
      <c r="B56" s="2">
        <v>561542.59</v>
      </c>
    </row>
    <row r="57" spans="1:2" x14ac:dyDescent="0.25">
      <c r="A57" t="s">
        <v>55</v>
      </c>
      <c r="B57" s="2">
        <v>0</v>
      </c>
    </row>
    <row r="58" spans="1:2" x14ac:dyDescent="0.25">
      <c r="A58" t="s">
        <v>56</v>
      </c>
      <c r="B58" s="2">
        <v>35091.56</v>
      </c>
    </row>
    <row r="59" spans="1:2" x14ac:dyDescent="0.25">
      <c r="A59" t="s">
        <v>57</v>
      </c>
      <c r="B59" s="2">
        <v>35091.56</v>
      </c>
    </row>
    <row r="60" spans="1:2" x14ac:dyDescent="0.25">
      <c r="A60" t="s">
        <v>58</v>
      </c>
      <c r="B60" s="2">
        <v>0</v>
      </c>
    </row>
    <row r="61" spans="1:2" x14ac:dyDescent="0.25">
      <c r="A61" t="s">
        <v>61</v>
      </c>
      <c r="B61" s="2">
        <v>833786.93</v>
      </c>
    </row>
    <row r="62" spans="1:2" x14ac:dyDescent="0.25">
      <c r="A62" t="s">
        <v>62</v>
      </c>
      <c r="B62" s="2">
        <v>18107149.149999999</v>
      </c>
    </row>
    <row r="63" spans="1:2" x14ac:dyDescent="0.25">
      <c r="A63" t="s">
        <v>63</v>
      </c>
      <c r="B63" s="2">
        <v>110911.37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F63A-D38C-4074-A2B5-FA4413D5B282}">
  <sheetPr>
    <tabColor theme="5" tint="-0.249977111117893"/>
  </sheetPr>
  <dimension ref="A1:B63"/>
  <sheetViews>
    <sheetView tabSelected="1" workbookViewId="0">
      <pane xSplit="1" ySplit="1" topLeftCell="B31" activePane="bottomRight" state="frozen"/>
      <selection activeCell="C10" sqref="C10"/>
      <selection pane="topRight" activeCell="C10" sqref="C10"/>
      <selection pane="bottomLeft" activeCell="C10" sqref="C10"/>
      <selection pane="bottomRight" activeCell="B63" sqref="B63"/>
    </sheetView>
  </sheetViews>
  <sheetFormatPr defaultRowHeight="15" x14ac:dyDescent="0.25"/>
  <cols>
    <col min="1" max="1" width="32.140625" bestFit="1" customWidth="1"/>
    <col min="2" max="2" width="13.285156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v>102767.95</v>
      </c>
    </row>
    <row r="3" spans="1:2" x14ac:dyDescent="0.25">
      <c r="A3" t="s">
        <v>1</v>
      </c>
      <c r="B3" s="2">
        <v>4965758.3099999996</v>
      </c>
    </row>
    <row r="4" spans="1:2" x14ac:dyDescent="0.25">
      <c r="A4" t="s">
        <v>2</v>
      </c>
      <c r="B4" s="2">
        <v>3266522.23</v>
      </c>
    </row>
    <row r="5" spans="1:2" x14ac:dyDescent="0.25">
      <c r="A5" t="s">
        <v>3</v>
      </c>
      <c r="B5" s="2">
        <v>1802004.03</v>
      </c>
    </row>
    <row r="6" spans="1:2" x14ac:dyDescent="0.25">
      <c r="A6" t="s">
        <v>4</v>
      </c>
      <c r="B6" s="2">
        <v>102767.95</v>
      </c>
    </row>
    <row r="7" spans="1:2" x14ac:dyDescent="0.25">
      <c r="A7" t="s">
        <v>5</v>
      </c>
      <c r="B7" s="2">
        <v>3428265.77</v>
      </c>
    </row>
    <row r="8" spans="1:2" x14ac:dyDescent="0.25">
      <c r="A8" t="s">
        <v>6</v>
      </c>
      <c r="B8" s="2">
        <v>3460263.09</v>
      </c>
    </row>
    <row r="9" spans="1:2" x14ac:dyDescent="0.25">
      <c r="A9" t="s">
        <v>7</v>
      </c>
      <c r="B9" s="2">
        <v>134765.26999999999</v>
      </c>
    </row>
    <row r="10" spans="1:2" x14ac:dyDescent="0.25">
      <c r="A10" t="s">
        <v>8</v>
      </c>
      <c r="B10" s="2">
        <v>0</v>
      </c>
    </row>
    <row r="11" spans="1:2" x14ac:dyDescent="0.25">
      <c r="A11" t="s">
        <v>9</v>
      </c>
      <c r="B11" s="2">
        <v>1705334.08</v>
      </c>
    </row>
    <row r="12" spans="1:2" x14ac:dyDescent="0.25">
      <c r="A12" t="s">
        <v>10</v>
      </c>
      <c r="B12" s="2">
        <v>15237.85</v>
      </c>
    </row>
    <row r="13" spans="1:2" x14ac:dyDescent="0.25">
      <c r="A13" t="s">
        <v>11</v>
      </c>
      <c r="B13" s="2">
        <v>1690096.23</v>
      </c>
    </row>
    <row r="14" spans="1:2" x14ac:dyDescent="0.25">
      <c r="A14" t="s">
        <v>12</v>
      </c>
      <c r="B14" s="2">
        <v>0</v>
      </c>
    </row>
    <row r="15" spans="1:2" x14ac:dyDescent="0.25">
      <c r="A15" t="s">
        <v>13</v>
      </c>
      <c r="B15" s="2">
        <v>55000</v>
      </c>
    </row>
    <row r="16" spans="1:2" x14ac:dyDescent="0.25">
      <c r="A16" t="s">
        <v>14</v>
      </c>
      <c r="B16" s="2">
        <v>3412334.99</v>
      </c>
    </row>
    <row r="17" spans="1:2" x14ac:dyDescent="0.25">
      <c r="A17" t="s">
        <v>15</v>
      </c>
      <c r="B17" s="2">
        <v>3357334.99</v>
      </c>
    </row>
    <row r="18" spans="1:2" x14ac:dyDescent="0.25">
      <c r="A18" t="s">
        <v>16</v>
      </c>
      <c r="B18" s="2">
        <v>0</v>
      </c>
    </row>
    <row r="19" spans="1:2" x14ac:dyDescent="0.25">
      <c r="A19" t="s">
        <v>17</v>
      </c>
      <c r="B19" s="2">
        <v>3175386.39</v>
      </c>
    </row>
    <row r="20" spans="1:2" x14ac:dyDescent="0.25">
      <c r="A20" t="s">
        <v>18</v>
      </c>
      <c r="B20" s="2">
        <v>131896.46</v>
      </c>
    </row>
    <row r="21" spans="1:2" x14ac:dyDescent="0.25">
      <c r="A21" t="s">
        <v>19</v>
      </c>
      <c r="B21" s="2">
        <v>3043489.93</v>
      </c>
    </row>
    <row r="22" spans="1:2" x14ac:dyDescent="0.25">
      <c r="A22" t="s">
        <v>20</v>
      </c>
      <c r="B22" s="2">
        <v>0</v>
      </c>
    </row>
    <row r="23" spans="1:2" x14ac:dyDescent="0.25">
      <c r="A23" t="s">
        <v>21</v>
      </c>
      <c r="B23" s="2">
        <v>3497844.09</v>
      </c>
    </row>
    <row r="24" spans="1:2" x14ac:dyDescent="0.25">
      <c r="A24" t="s">
        <v>22</v>
      </c>
      <c r="B24" s="2">
        <v>6541334.0199999996</v>
      </c>
    </row>
    <row r="25" spans="1:2" x14ac:dyDescent="0.25">
      <c r="A25" t="s">
        <v>23</v>
      </c>
      <c r="B25" s="2">
        <v>3043489.93</v>
      </c>
    </row>
    <row r="26" spans="1:2" x14ac:dyDescent="0.25">
      <c r="A26" t="s">
        <v>24</v>
      </c>
      <c r="B26" s="2">
        <v>13756.01</v>
      </c>
    </row>
    <row r="27" spans="1:2" x14ac:dyDescent="0.25">
      <c r="A27" t="s">
        <v>25</v>
      </c>
      <c r="B27" s="2">
        <v>1040819.88</v>
      </c>
    </row>
    <row r="28" spans="1:2" x14ac:dyDescent="0.25">
      <c r="A28" t="s">
        <v>26</v>
      </c>
      <c r="B28" s="2">
        <v>40</v>
      </c>
    </row>
    <row r="29" spans="1:2" x14ac:dyDescent="0.25">
      <c r="A29" t="s">
        <v>27</v>
      </c>
      <c r="B29" s="2">
        <v>1054535.8899999999</v>
      </c>
    </row>
    <row r="30" spans="1:2" x14ac:dyDescent="0.25">
      <c r="A30" t="s">
        <v>28</v>
      </c>
      <c r="B30" s="2">
        <v>13756.01</v>
      </c>
    </row>
    <row r="31" spans="1:2" x14ac:dyDescent="0.25">
      <c r="A31" t="s">
        <v>29</v>
      </c>
      <c r="B31" s="2">
        <v>2076235.54</v>
      </c>
    </row>
    <row r="32" spans="1:2" x14ac:dyDescent="0.25">
      <c r="A32" t="s">
        <v>30</v>
      </c>
      <c r="B32" s="2">
        <v>3117015.42</v>
      </c>
    </row>
    <row r="33" spans="1:2" x14ac:dyDescent="0.25">
      <c r="A33" t="s">
        <v>31</v>
      </c>
      <c r="B33" s="2">
        <v>1054535.8899999999</v>
      </c>
    </row>
    <row r="34" spans="1:2" x14ac:dyDescent="0.25">
      <c r="A34" t="s">
        <v>32</v>
      </c>
      <c r="B34" s="2">
        <v>2400000</v>
      </c>
    </row>
    <row r="35" spans="1:2" x14ac:dyDescent="0.25">
      <c r="A35" t="s">
        <v>33</v>
      </c>
      <c r="B35" s="2">
        <v>2345000</v>
      </c>
    </row>
    <row r="36" spans="1:2" x14ac:dyDescent="0.25">
      <c r="A36" t="s">
        <v>34</v>
      </c>
      <c r="B36" s="2">
        <v>698489.93</v>
      </c>
    </row>
    <row r="37" spans="1:2" x14ac:dyDescent="0.25">
      <c r="A37" t="s">
        <v>35</v>
      </c>
      <c r="B37" s="2">
        <v>657122.67000000004</v>
      </c>
    </row>
    <row r="38" spans="1:2" x14ac:dyDescent="0.25">
      <c r="A38" t="s">
        <v>36</v>
      </c>
      <c r="B38" s="2">
        <v>641639.07999999996</v>
      </c>
    </row>
    <row r="39" spans="1:2" x14ac:dyDescent="0.25">
      <c r="A39" t="s">
        <v>37</v>
      </c>
      <c r="B39" s="3"/>
    </row>
    <row r="40" spans="1:2" x14ac:dyDescent="0.25">
      <c r="A40" t="s">
        <v>38</v>
      </c>
      <c r="B40" s="3"/>
    </row>
    <row r="41" spans="1:2" x14ac:dyDescent="0.25">
      <c r="A41" t="s">
        <v>39</v>
      </c>
      <c r="B41" s="3"/>
    </row>
    <row r="42" spans="1:2" x14ac:dyDescent="0.25">
      <c r="A42" t="s">
        <v>40</v>
      </c>
      <c r="B42" s="2">
        <v>20900.72</v>
      </c>
    </row>
    <row r="43" spans="1:2" x14ac:dyDescent="0.25">
      <c r="A43" t="s">
        <v>41</v>
      </c>
      <c r="B43" s="2">
        <v>10000</v>
      </c>
    </row>
    <row r="44" spans="1:2" x14ac:dyDescent="0.25">
      <c r="A44" t="s">
        <v>42</v>
      </c>
      <c r="B44" s="2">
        <v>0</v>
      </c>
    </row>
    <row r="45" spans="1:2" x14ac:dyDescent="0.25">
      <c r="A45" t="s">
        <v>43</v>
      </c>
      <c r="B45" s="2">
        <v>85900.72</v>
      </c>
    </row>
    <row r="46" spans="1:2" x14ac:dyDescent="0.25">
      <c r="A46" t="s">
        <v>44</v>
      </c>
      <c r="B46" s="2">
        <v>30900.720000000001</v>
      </c>
    </row>
    <row r="47" spans="1:2" x14ac:dyDescent="0.25">
      <c r="A47" t="s">
        <v>45</v>
      </c>
      <c r="B47" s="2">
        <v>0</v>
      </c>
    </row>
    <row r="48" spans="1:2" x14ac:dyDescent="0.25">
      <c r="A48" t="s">
        <v>46</v>
      </c>
      <c r="B48" s="2">
        <v>0</v>
      </c>
    </row>
    <row r="49" spans="1:2" x14ac:dyDescent="0.25">
      <c r="A49" t="s">
        <v>47</v>
      </c>
      <c r="B49" s="2">
        <v>0</v>
      </c>
    </row>
    <row r="50" spans="1:2" x14ac:dyDescent="0.25">
      <c r="A50" t="s">
        <v>48</v>
      </c>
      <c r="B50" s="2">
        <v>0</v>
      </c>
    </row>
    <row r="51" spans="1:2" x14ac:dyDescent="0.25">
      <c r="A51" t="s">
        <v>49</v>
      </c>
      <c r="B51" s="2">
        <v>0</v>
      </c>
    </row>
    <row r="52" spans="1:2" x14ac:dyDescent="0.25">
      <c r="A52" t="s">
        <v>50</v>
      </c>
      <c r="B52" s="2">
        <v>0</v>
      </c>
    </row>
    <row r="53" spans="1:2" x14ac:dyDescent="0.25">
      <c r="A53" t="s">
        <v>51</v>
      </c>
      <c r="B53" s="2">
        <v>0</v>
      </c>
    </row>
    <row r="54" spans="1:2" x14ac:dyDescent="0.25">
      <c r="A54" t="s">
        <v>52</v>
      </c>
      <c r="B54" s="2">
        <v>0</v>
      </c>
    </row>
    <row r="55" spans="1:2" x14ac:dyDescent="0.25">
      <c r="A55" t="s">
        <v>53</v>
      </c>
      <c r="B55" s="2">
        <v>0</v>
      </c>
    </row>
    <row r="56" spans="1:2" x14ac:dyDescent="0.25">
      <c r="A56" t="s">
        <v>54</v>
      </c>
      <c r="B56" s="2">
        <v>0</v>
      </c>
    </row>
    <row r="57" spans="1:2" x14ac:dyDescent="0.25">
      <c r="A57" t="s">
        <v>55</v>
      </c>
      <c r="B57" s="2">
        <v>0</v>
      </c>
    </row>
    <row r="58" spans="1:2" x14ac:dyDescent="0.25">
      <c r="A58" t="s">
        <v>56</v>
      </c>
      <c r="B58" s="2">
        <v>0</v>
      </c>
    </row>
    <row r="59" spans="1:2" x14ac:dyDescent="0.25">
      <c r="A59" t="s">
        <v>57</v>
      </c>
      <c r="B59" s="2">
        <v>0</v>
      </c>
    </row>
    <row r="60" spans="1:2" x14ac:dyDescent="0.25">
      <c r="A60" t="s">
        <v>58</v>
      </c>
      <c r="B60" s="2">
        <v>0</v>
      </c>
    </row>
    <row r="61" spans="1:2" x14ac:dyDescent="0.25">
      <c r="A61" t="s">
        <v>61</v>
      </c>
      <c r="B61" s="2">
        <v>3528.9700000000003</v>
      </c>
    </row>
    <row r="62" spans="1:2" x14ac:dyDescent="0.25">
      <c r="A62" t="s">
        <v>62</v>
      </c>
      <c r="B62" s="2">
        <v>94205.14</v>
      </c>
    </row>
    <row r="63" spans="1:2" x14ac:dyDescent="0.25">
      <c r="A63" t="s">
        <v>63</v>
      </c>
      <c r="B63" s="2">
        <v>1048.3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8AF86-4A49-4964-86E1-413E237B09AE}">
  <sheetPr>
    <tabColor theme="5" tint="-0.249977111117893"/>
  </sheetPr>
  <dimension ref="A1:B63"/>
  <sheetViews>
    <sheetView workbookViewId="0">
      <pane xSplit="1" ySplit="1" topLeftCell="B29" activePane="bottomRight" state="frozen"/>
      <selection activeCell="C10" sqref="C10"/>
      <selection pane="topRight" activeCell="C10" sqref="C10"/>
      <selection pane="bottomLeft" activeCell="C10" sqref="C10"/>
      <selection pane="bottomRight" activeCell="B63" sqref="B63"/>
    </sheetView>
  </sheetViews>
  <sheetFormatPr defaultRowHeight="15" x14ac:dyDescent="0.25"/>
  <cols>
    <col min="1" max="1" width="32.140625" bestFit="1" customWidth="1"/>
    <col min="2" max="2" width="13.28515625" style="2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v>87963493.810000002</v>
      </c>
    </row>
    <row r="3" spans="1:2" x14ac:dyDescent="0.25">
      <c r="A3" t="s">
        <v>1</v>
      </c>
      <c r="B3" s="2">
        <v>14415762.83</v>
      </c>
    </row>
    <row r="4" spans="1:2" x14ac:dyDescent="0.25">
      <c r="A4" t="s">
        <v>2</v>
      </c>
      <c r="B4" s="2">
        <v>11001042.74</v>
      </c>
    </row>
    <row r="5" spans="1:2" x14ac:dyDescent="0.25">
      <c r="A5" t="s">
        <v>3</v>
      </c>
      <c r="B5" s="2">
        <v>91378213.900000006</v>
      </c>
    </row>
    <row r="6" spans="1:2" x14ac:dyDescent="0.25">
      <c r="A6" t="s">
        <v>4</v>
      </c>
      <c r="B6" s="2">
        <v>87963493.810000002</v>
      </c>
    </row>
    <row r="7" spans="1:2" x14ac:dyDescent="0.25">
      <c r="A7" t="s">
        <v>5</v>
      </c>
      <c r="B7" s="2">
        <v>4108415.22</v>
      </c>
    </row>
    <row r="8" spans="1:2" x14ac:dyDescent="0.25">
      <c r="A8" t="s">
        <v>6</v>
      </c>
      <c r="B8" s="2">
        <v>4280343.3499999996</v>
      </c>
    </row>
    <row r="9" spans="1:2" x14ac:dyDescent="0.25">
      <c r="A9" t="s">
        <v>7</v>
      </c>
      <c r="B9" s="2">
        <v>88135421.939999998</v>
      </c>
    </row>
    <row r="10" spans="1:2" x14ac:dyDescent="0.25">
      <c r="A10" t="s">
        <v>8</v>
      </c>
      <c r="B10" s="2">
        <v>0</v>
      </c>
    </row>
    <row r="11" spans="1:2" x14ac:dyDescent="0.25">
      <c r="A11" t="s">
        <v>9</v>
      </c>
      <c r="B11" s="2">
        <v>2762058.91</v>
      </c>
    </row>
    <row r="12" spans="1:2" x14ac:dyDescent="0.25">
      <c r="A12" t="s">
        <v>10</v>
      </c>
      <c r="B12" s="2">
        <v>403090.38</v>
      </c>
    </row>
    <row r="13" spans="1:2" x14ac:dyDescent="0.25">
      <c r="A13" t="s">
        <v>11</v>
      </c>
      <c r="B13" s="2">
        <v>2358968.5299999998</v>
      </c>
    </row>
    <row r="14" spans="1:2" x14ac:dyDescent="0.25">
      <c r="A14" t="s">
        <v>12</v>
      </c>
      <c r="B14" s="2">
        <v>0</v>
      </c>
    </row>
    <row r="15" spans="1:2" x14ac:dyDescent="0.25">
      <c r="A15" t="s">
        <v>13</v>
      </c>
      <c r="B15" s="2">
        <v>0</v>
      </c>
    </row>
    <row r="16" spans="1:2" x14ac:dyDescent="0.25">
      <c r="A16" t="s">
        <v>14</v>
      </c>
      <c r="B16" s="2">
        <v>5601760.4900000002</v>
      </c>
    </row>
    <row r="17" spans="1:2" x14ac:dyDescent="0.25">
      <c r="A17" t="s">
        <v>15</v>
      </c>
      <c r="B17" s="2">
        <v>5601760.4900000002</v>
      </c>
    </row>
    <row r="18" spans="1:2" x14ac:dyDescent="0.25">
      <c r="A18" t="s">
        <v>16</v>
      </c>
      <c r="B18" s="2">
        <v>30994.22</v>
      </c>
    </row>
    <row r="19" spans="1:2" x14ac:dyDescent="0.25">
      <c r="A19" t="s">
        <v>17</v>
      </c>
      <c r="B19" s="2">
        <v>23981783.23</v>
      </c>
    </row>
    <row r="20" spans="1:2" x14ac:dyDescent="0.25">
      <c r="A20" t="s">
        <v>18</v>
      </c>
      <c r="B20" s="2">
        <v>489158.84</v>
      </c>
    </row>
    <row r="21" spans="1:2" x14ac:dyDescent="0.25">
      <c r="A21" t="s">
        <v>19</v>
      </c>
      <c r="B21" s="2">
        <v>23523618.609999999</v>
      </c>
    </row>
    <row r="22" spans="1:2" x14ac:dyDescent="0.25">
      <c r="A22" t="s">
        <v>20</v>
      </c>
      <c r="B22" s="2">
        <v>30994.22</v>
      </c>
    </row>
    <row r="23" spans="1:2" x14ac:dyDescent="0.25">
      <c r="A23" t="s">
        <v>21</v>
      </c>
      <c r="B23" s="2">
        <v>19262895.940000001</v>
      </c>
    </row>
    <row r="24" spans="1:2" x14ac:dyDescent="0.25">
      <c r="A24" t="s">
        <v>22</v>
      </c>
      <c r="B24" s="2">
        <v>42755520.329999998</v>
      </c>
    </row>
    <row r="25" spans="1:2" x14ac:dyDescent="0.25">
      <c r="A25" t="s">
        <v>23</v>
      </c>
      <c r="B25" s="2">
        <v>23523618.609999999</v>
      </c>
    </row>
    <row r="26" spans="1:2" x14ac:dyDescent="0.25">
      <c r="A26" t="s">
        <v>24</v>
      </c>
      <c r="B26" s="2">
        <v>48989356.799999997</v>
      </c>
    </row>
    <row r="27" spans="1:2" x14ac:dyDescent="0.25">
      <c r="A27" t="s">
        <v>25</v>
      </c>
      <c r="B27" s="2">
        <v>4922504.6100000003</v>
      </c>
    </row>
    <row r="28" spans="1:2" x14ac:dyDescent="0.25">
      <c r="A28" t="s">
        <v>26</v>
      </c>
      <c r="B28" s="2">
        <v>1614011.64</v>
      </c>
    </row>
    <row r="29" spans="1:2" x14ac:dyDescent="0.25">
      <c r="A29" t="s">
        <v>27</v>
      </c>
      <c r="B29" s="2">
        <v>52297849.770000003</v>
      </c>
    </row>
    <row r="30" spans="1:2" x14ac:dyDescent="0.25">
      <c r="A30" t="s">
        <v>28</v>
      </c>
      <c r="B30" s="2">
        <v>48989356.799999997</v>
      </c>
    </row>
    <row r="31" spans="1:2" x14ac:dyDescent="0.25">
      <c r="A31" t="s">
        <v>29</v>
      </c>
      <c r="B31" s="2">
        <v>16380218.58</v>
      </c>
    </row>
    <row r="32" spans="1:2" x14ac:dyDescent="0.25">
      <c r="A32" t="s">
        <v>30</v>
      </c>
      <c r="B32" s="2">
        <v>19688711.550000001</v>
      </c>
    </row>
    <row r="33" spans="1:2" x14ac:dyDescent="0.25">
      <c r="A33" t="s">
        <v>31</v>
      </c>
      <c r="B33" s="2">
        <v>52297849.770000003</v>
      </c>
    </row>
    <row r="34" spans="1:2" x14ac:dyDescent="0.25">
      <c r="A34" t="s">
        <v>32</v>
      </c>
      <c r="B34" s="2">
        <v>10349644.77</v>
      </c>
    </row>
    <row r="35" spans="1:2" x14ac:dyDescent="0.25">
      <c r="A35" t="s">
        <v>33</v>
      </c>
      <c r="B35" s="2">
        <v>10349644.77</v>
      </c>
    </row>
    <row r="36" spans="1:2" x14ac:dyDescent="0.25">
      <c r="A36" t="s">
        <v>34</v>
      </c>
      <c r="B36" s="2">
        <v>2793334.85</v>
      </c>
    </row>
    <row r="37" spans="1:2" x14ac:dyDescent="0.25">
      <c r="A37" t="s">
        <v>35</v>
      </c>
      <c r="B37" s="2">
        <v>2135300.15</v>
      </c>
    </row>
    <row r="38" spans="1:2" x14ac:dyDescent="0.25">
      <c r="A38" t="s">
        <v>36</v>
      </c>
      <c r="B38" s="2">
        <v>2135300.15</v>
      </c>
    </row>
    <row r="39" spans="1:2" x14ac:dyDescent="0.25">
      <c r="A39" t="s">
        <v>37</v>
      </c>
      <c r="B39" s="2">
        <v>10349644.77</v>
      </c>
    </row>
    <row r="40" spans="1:2" x14ac:dyDescent="0.25">
      <c r="A40" t="s">
        <v>38</v>
      </c>
      <c r="B40" s="2">
        <v>10349644.77</v>
      </c>
    </row>
    <row r="41" spans="1:2" x14ac:dyDescent="0.25">
      <c r="A41" t="s">
        <v>39</v>
      </c>
      <c r="B41" s="2">
        <v>4897158.09</v>
      </c>
    </row>
    <row r="42" spans="1:2" x14ac:dyDescent="0.25">
      <c r="A42" t="s">
        <v>40</v>
      </c>
      <c r="B42" s="2">
        <v>19000</v>
      </c>
    </row>
    <row r="43" spans="1:2" x14ac:dyDescent="0.25">
      <c r="A43" t="s">
        <v>41</v>
      </c>
      <c r="B43" s="2">
        <v>0</v>
      </c>
    </row>
    <row r="44" spans="1:2" x14ac:dyDescent="0.25">
      <c r="A44" t="s">
        <v>42</v>
      </c>
      <c r="B44" s="2">
        <v>0</v>
      </c>
    </row>
    <row r="45" spans="1:2" x14ac:dyDescent="0.25">
      <c r="A45" t="s">
        <v>43</v>
      </c>
      <c r="B45" s="2">
        <v>19000</v>
      </c>
    </row>
    <row r="46" spans="1:2" x14ac:dyDescent="0.25">
      <c r="A46" t="s">
        <v>44</v>
      </c>
      <c r="B46" s="2">
        <v>19000</v>
      </c>
    </row>
    <row r="47" spans="1:2" x14ac:dyDescent="0.25">
      <c r="A47" t="s">
        <v>45</v>
      </c>
      <c r="B47" s="2">
        <v>0</v>
      </c>
    </row>
    <row r="48" spans="1:2" x14ac:dyDescent="0.25">
      <c r="A48" t="s">
        <v>46</v>
      </c>
      <c r="B48" s="2">
        <v>0</v>
      </c>
    </row>
    <row r="49" spans="1:2" x14ac:dyDescent="0.25">
      <c r="A49" t="s">
        <v>47</v>
      </c>
      <c r="B49" s="2">
        <v>0</v>
      </c>
    </row>
    <row r="50" spans="1:2" x14ac:dyDescent="0.25">
      <c r="A50" t="s">
        <v>48</v>
      </c>
      <c r="B50" s="2">
        <v>0</v>
      </c>
    </row>
    <row r="51" spans="1:2" x14ac:dyDescent="0.25">
      <c r="A51" t="s">
        <v>49</v>
      </c>
      <c r="B51" s="2">
        <v>0</v>
      </c>
    </row>
    <row r="52" spans="1:2" x14ac:dyDescent="0.25">
      <c r="A52" t="s">
        <v>50</v>
      </c>
      <c r="B52" s="2">
        <v>0</v>
      </c>
    </row>
    <row r="53" spans="1:2" x14ac:dyDescent="0.25">
      <c r="A53" t="s">
        <v>51</v>
      </c>
      <c r="B53" s="2">
        <v>29984.22</v>
      </c>
    </row>
    <row r="54" spans="1:2" x14ac:dyDescent="0.25">
      <c r="A54" t="s">
        <v>52</v>
      </c>
      <c r="B54" s="2">
        <v>27131.919999999998</v>
      </c>
    </row>
    <row r="55" spans="1:2" x14ac:dyDescent="0.25">
      <c r="A55" t="s">
        <v>53</v>
      </c>
      <c r="B55" s="2">
        <v>27131.919999999998</v>
      </c>
    </row>
    <row r="56" spans="1:2" x14ac:dyDescent="0.25">
      <c r="A56" t="s">
        <v>54</v>
      </c>
      <c r="B56" s="2">
        <v>2852.3</v>
      </c>
    </row>
    <row r="57" spans="1:2" x14ac:dyDescent="0.25">
      <c r="A57" t="s">
        <v>55</v>
      </c>
      <c r="B57" s="2">
        <v>1010</v>
      </c>
    </row>
    <row r="58" spans="1:2" x14ac:dyDescent="0.25">
      <c r="A58" t="s">
        <v>56</v>
      </c>
      <c r="B58" s="2">
        <v>0</v>
      </c>
    </row>
    <row r="59" spans="1:2" x14ac:dyDescent="0.25">
      <c r="A59" t="s">
        <v>57</v>
      </c>
      <c r="B59" s="2">
        <v>0</v>
      </c>
    </row>
    <row r="60" spans="1:2" x14ac:dyDescent="0.25">
      <c r="A60" t="s">
        <v>58</v>
      </c>
      <c r="B60" s="2">
        <v>0</v>
      </c>
    </row>
    <row r="61" spans="1:2" x14ac:dyDescent="0.25">
      <c r="A61" t="s">
        <v>61</v>
      </c>
      <c r="B61" s="3"/>
    </row>
    <row r="62" spans="1:2" x14ac:dyDescent="0.25">
      <c r="A62" t="s">
        <v>62</v>
      </c>
      <c r="B62" s="3"/>
    </row>
    <row r="63" spans="1:2" x14ac:dyDescent="0.25">
      <c r="A63" t="s">
        <v>63</v>
      </c>
      <c r="B63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017E-0636-46E1-A3EE-0B37D2C90B04}">
  <sheetPr>
    <tabColor theme="5" tint="-0.249977111117893"/>
  </sheetPr>
  <dimension ref="A1:B63"/>
  <sheetViews>
    <sheetView workbookViewId="0">
      <pane xSplit="1" ySplit="1" topLeftCell="B29" activePane="bottomRight" state="frozen"/>
      <selection activeCell="C10" sqref="C10"/>
      <selection pane="topRight" activeCell="C10" sqref="C10"/>
      <selection pane="bottomLeft" activeCell="C10" sqref="C10"/>
      <selection pane="bottomRight" activeCell="A63" sqref="A63"/>
    </sheetView>
  </sheetViews>
  <sheetFormatPr defaultRowHeight="15" x14ac:dyDescent="0.25"/>
  <cols>
    <col min="1" max="1" width="32.140625" bestFit="1" customWidth="1"/>
    <col min="2" max="2" width="14.285156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0</v>
      </c>
      <c r="B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195643561.53</v>
      </c>
    </row>
    <row r="3" spans="1:2" x14ac:dyDescent="0.25">
      <c r="A3" t="s">
        <v>1</v>
      </c>
      <c r="B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126092739.18000001</v>
      </c>
    </row>
    <row r="4" spans="1:2" x14ac:dyDescent="0.25">
      <c r="A4" t="s">
        <v>2</v>
      </c>
      <c r="B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116571165.52</v>
      </c>
    </row>
    <row r="5" spans="1:2" x14ac:dyDescent="0.25">
      <c r="A5" t="s">
        <v>3</v>
      </c>
      <c r="B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205165135.19</v>
      </c>
    </row>
    <row r="6" spans="1:2" x14ac:dyDescent="0.25">
      <c r="A6" t="s">
        <v>4</v>
      </c>
      <c r="B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195643561.53</v>
      </c>
    </row>
    <row r="7" spans="1:2" x14ac:dyDescent="0.25">
      <c r="A7" t="s">
        <v>5</v>
      </c>
      <c r="B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105728508.73999999</v>
      </c>
    </row>
    <row r="8" spans="1:2" x14ac:dyDescent="0.25">
      <c r="A8" t="s">
        <v>6</v>
      </c>
      <c r="B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109034316.09999999</v>
      </c>
    </row>
    <row r="9" spans="1:2" x14ac:dyDescent="0.25">
      <c r="A9" t="s">
        <v>7</v>
      </c>
      <c r="B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198949368.88999999</v>
      </c>
    </row>
    <row r="10" spans="1:2" x14ac:dyDescent="0.25">
      <c r="A10" t="s">
        <v>8</v>
      </c>
      <c r="B1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11" spans="1:2" x14ac:dyDescent="0.25">
      <c r="A11" t="s">
        <v>9</v>
      </c>
      <c r="B1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33186713.569999997</v>
      </c>
    </row>
    <row r="12" spans="1:2" x14ac:dyDescent="0.25">
      <c r="A12" t="s">
        <v>10</v>
      </c>
      <c r="B1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1755553.08</v>
      </c>
    </row>
    <row r="13" spans="1:2" x14ac:dyDescent="0.25">
      <c r="A13" t="s">
        <v>11</v>
      </c>
      <c r="B1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31431160.490000002</v>
      </c>
    </row>
    <row r="14" spans="1:2" x14ac:dyDescent="0.25">
      <c r="A14" t="s">
        <v>12</v>
      </c>
      <c r="B1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15" spans="1:2" x14ac:dyDescent="0.25">
      <c r="A15" t="s">
        <v>13</v>
      </c>
      <c r="B1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460553.6</v>
      </c>
    </row>
    <row r="16" spans="1:2" x14ac:dyDescent="0.25">
      <c r="A16" t="s">
        <v>14</v>
      </c>
      <c r="B1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38107480.390000001</v>
      </c>
    </row>
    <row r="17" spans="1:2" x14ac:dyDescent="0.25">
      <c r="A17" t="s">
        <v>15</v>
      </c>
      <c r="B1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37646926.789999999</v>
      </c>
    </row>
    <row r="18" spans="1:2" x14ac:dyDescent="0.25">
      <c r="A18" t="s">
        <v>16</v>
      </c>
      <c r="B1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1221161.47</v>
      </c>
    </row>
    <row r="19" spans="1:2" x14ac:dyDescent="0.25">
      <c r="A19" t="s">
        <v>17</v>
      </c>
      <c r="B1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217892159.03999996</v>
      </c>
    </row>
    <row r="20" spans="1:2" x14ac:dyDescent="0.25">
      <c r="A20" t="s">
        <v>18</v>
      </c>
      <c r="B2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37696017.160000004</v>
      </c>
    </row>
    <row r="21" spans="1:2" x14ac:dyDescent="0.25">
      <c r="A21" t="s">
        <v>19</v>
      </c>
      <c r="B2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181417303.35000002</v>
      </c>
    </row>
    <row r="22" spans="1:2" x14ac:dyDescent="0.25">
      <c r="A22" t="s">
        <v>20</v>
      </c>
      <c r="B2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1221161.47</v>
      </c>
    </row>
    <row r="23" spans="1:2" x14ac:dyDescent="0.25">
      <c r="A23" t="s">
        <v>21</v>
      </c>
      <c r="B2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181626516</v>
      </c>
    </row>
    <row r="24" spans="1:2" x14ac:dyDescent="0.25">
      <c r="A24" t="s">
        <v>22</v>
      </c>
      <c r="B2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361822657.87999994</v>
      </c>
    </row>
    <row r="25" spans="1:2" x14ac:dyDescent="0.25">
      <c r="A25" t="s">
        <v>23</v>
      </c>
      <c r="B2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181417303.35000002</v>
      </c>
    </row>
    <row r="26" spans="1:2" x14ac:dyDescent="0.25">
      <c r="A26" t="s">
        <v>24</v>
      </c>
      <c r="B2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116105698.47</v>
      </c>
    </row>
    <row r="27" spans="1:2" x14ac:dyDescent="0.25">
      <c r="A27" t="s">
        <v>25</v>
      </c>
      <c r="B2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66694186.300000004</v>
      </c>
    </row>
    <row r="28" spans="1:2" x14ac:dyDescent="0.25">
      <c r="A28" t="s">
        <v>26</v>
      </c>
      <c r="B2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3149247.67</v>
      </c>
    </row>
    <row r="29" spans="1:2" x14ac:dyDescent="0.25">
      <c r="A29" t="s">
        <v>27</v>
      </c>
      <c r="B2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179650637.09999999</v>
      </c>
    </row>
    <row r="30" spans="1:2" x14ac:dyDescent="0.25">
      <c r="A30" t="s">
        <v>28</v>
      </c>
      <c r="B3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116105698.47</v>
      </c>
    </row>
    <row r="31" spans="1:2" x14ac:dyDescent="0.25">
      <c r="A31" t="s">
        <v>29</v>
      </c>
      <c r="B3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120637686.80000001</v>
      </c>
    </row>
    <row r="32" spans="1:2" x14ac:dyDescent="0.25">
      <c r="A32" t="s">
        <v>30</v>
      </c>
      <c r="B3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184182625.43000001</v>
      </c>
    </row>
    <row r="33" spans="1:2" x14ac:dyDescent="0.25">
      <c r="A33" t="s">
        <v>31</v>
      </c>
      <c r="B3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179650637.09999999</v>
      </c>
    </row>
    <row r="34" spans="1:2" x14ac:dyDescent="0.25">
      <c r="A34" t="s">
        <v>32</v>
      </c>
      <c r="B3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64786648.569999993</v>
      </c>
    </row>
    <row r="35" spans="1:2" x14ac:dyDescent="0.25">
      <c r="A35" t="s">
        <v>33</v>
      </c>
      <c r="B3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78867105.689999998</v>
      </c>
    </row>
    <row r="36" spans="1:2" x14ac:dyDescent="0.25">
      <c r="A36" t="s">
        <v>34</v>
      </c>
      <c r="B3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30954467.280000001</v>
      </c>
    </row>
    <row r="37" spans="1:2" x14ac:dyDescent="0.25">
      <c r="A37" t="s">
        <v>35</v>
      </c>
      <c r="B3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22652645.649999999</v>
      </c>
    </row>
    <row r="38" spans="1:2" x14ac:dyDescent="0.25">
      <c r="A38" t="s">
        <v>36</v>
      </c>
      <c r="B3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21784000.249999996</v>
      </c>
    </row>
    <row r="39" spans="1:2" x14ac:dyDescent="0.25">
      <c r="A39" t="s">
        <v>37</v>
      </c>
      <c r="B3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64786648.569999993</v>
      </c>
    </row>
    <row r="40" spans="1:2" x14ac:dyDescent="0.25">
      <c r="A40" t="s">
        <v>38</v>
      </c>
      <c r="B4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70374568.909999996</v>
      </c>
    </row>
    <row r="41" spans="1:2" x14ac:dyDescent="0.25">
      <c r="A41" t="s">
        <v>39</v>
      </c>
      <c r="B4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28357758.789999999</v>
      </c>
    </row>
    <row r="42" spans="1:2" x14ac:dyDescent="0.25">
      <c r="A42" t="s">
        <v>40</v>
      </c>
      <c r="B4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18169670.009999998</v>
      </c>
    </row>
    <row r="43" spans="1:2" x14ac:dyDescent="0.25">
      <c r="A43" t="s">
        <v>41</v>
      </c>
      <c r="B4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2407903.41</v>
      </c>
    </row>
    <row r="44" spans="1:2" x14ac:dyDescent="0.25">
      <c r="A44" t="s">
        <v>42</v>
      </c>
      <c r="B4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45" spans="1:2" x14ac:dyDescent="0.25">
      <c r="A45" t="s">
        <v>43</v>
      </c>
      <c r="B4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6497116.2999999998</v>
      </c>
    </row>
    <row r="46" spans="1:2" x14ac:dyDescent="0.25">
      <c r="A46" t="s">
        <v>44</v>
      </c>
      <c r="B4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6337634.9399999995</v>
      </c>
    </row>
    <row r="47" spans="1:2" x14ac:dyDescent="0.25">
      <c r="A47" t="s">
        <v>45</v>
      </c>
      <c r="B4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159481.35999999999</v>
      </c>
    </row>
    <row r="48" spans="1:2" x14ac:dyDescent="0.25">
      <c r="A48" t="s">
        <v>46</v>
      </c>
      <c r="B4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8392536.7799999993</v>
      </c>
    </row>
    <row r="49" spans="1:2" x14ac:dyDescent="0.25">
      <c r="A49" t="s">
        <v>47</v>
      </c>
      <c r="B4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5587920.3399999999</v>
      </c>
    </row>
    <row r="50" spans="1:2" x14ac:dyDescent="0.25">
      <c r="A50" t="s">
        <v>48</v>
      </c>
      <c r="B5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51" spans="1:2" x14ac:dyDescent="0.25">
      <c r="A51" t="s">
        <v>49</v>
      </c>
      <c r="B5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100000</v>
      </c>
    </row>
    <row r="52" spans="1:2" x14ac:dyDescent="0.25">
      <c r="A52" t="s">
        <v>50</v>
      </c>
      <c r="B5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240123.5</v>
      </c>
    </row>
    <row r="53" spans="1:2" x14ac:dyDescent="0.25">
      <c r="A53" t="s">
        <v>51</v>
      </c>
      <c r="B5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944936.40999999992</v>
      </c>
    </row>
    <row r="54" spans="1:2" x14ac:dyDescent="0.25">
      <c r="A54" t="s">
        <v>52</v>
      </c>
      <c r="B54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432169.38999999996</v>
      </c>
    </row>
    <row r="55" spans="1:2" x14ac:dyDescent="0.25">
      <c r="A55" t="s">
        <v>53</v>
      </c>
      <c r="B55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432169.38999999996</v>
      </c>
    </row>
    <row r="56" spans="1:2" x14ac:dyDescent="0.25">
      <c r="A56" t="s">
        <v>54</v>
      </c>
      <c r="B56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564394.89</v>
      </c>
    </row>
    <row r="57" spans="1:2" x14ac:dyDescent="0.25">
      <c r="A57" t="s">
        <v>55</v>
      </c>
      <c r="B57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1010</v>
      </c>
    </row>
    <row r="58" spans="1:2" x14ac:dyDescent="0.25">
      <c r="A58" t="s">
        <v>56</v>
      </c>
      <c r="B58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35091.56</v>
      </c>
    </row>
    <row r="59" spans="1:2" x14ac:dyDescent="0.25">
      <c r="A59" t="s">
        <v>57</v>
      </c>
      <c r="B59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35091.56</v>
      </c>
    </row>
    <row r="60" spans="1:2" x14ac:dyDescent="0.25">
      <c r="A60" t="s">
        <v>58</v>
      </c>
      <c r="B60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0</v>
      </c>
    </row>
    <row r="61" spans="1:2" x14ac:dyDescent="0.25">
      <c r="A61" t="s">
        <v>61</v>
      </c>
      <c r="B61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837315.9</v>
      </c>
    </row>
    <row r="62" spans="1:2" x14ac:dyDescent="0.25">
      <c r="A62" t="s">
        <v>62</v>
      </c>
      <c r="B62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18201354.289999999</v>
      </c>
    </row>
    <row r="63" spans="1:2" x14ac:dyDescent="0.25">
      <c r="A63" t="s">
        <v>63</v>
      </c>
      <c r="B63" s="2">
        <f>SUM(_xlfn.XLOOKUP(VALORES_MANUAIS345[[#This Row],[item]],VALORES_MANUAIS[item],VALORES_MANUAIS[valor],0),_xlfn.XLOOKUP(VALORES_MANUAIS345[[#This Row],[item]],VALORES_MANUAIS3[item],VALORES_MANUAIS3[valor],0),_xlfn.XLOOKUP(VALORES_MANUAIS345[[#This Row],[item]],VALORES_MANUAIS34[item],VALORES_MANUAIS34[valor],0))</f>
        <v>111959.67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PM</vt:lpstr>
      <vt:lpstr>CM</vt:lpstr>
      <vt:lpstr>FPSM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Everton da Rosa</dc:creator>
  <cp:lastModifiedBy>Everton da Rosa</cp:lastModifiedBy>
  <dcterms:created xsi:type="dcterms:W3CDTF">2026-06-10T12:18:58Z</dcterms:created>
  <dcterms:modified xsi:type="dcterms:W3CDTF">2026-06-12T13:34:49Z</dcterms:modified>
</cp:coreProperties>
</file>